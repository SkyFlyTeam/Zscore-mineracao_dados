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ssoal\fatec\6-sem\mineracao\"/>
    </mc:Choice>
  </mc:AlternateContent>
  <xr:revisionPtr revIDLastSave="0" documentId="8_{2B2B5844-57C8-4C46-8BC8-695DC55876B3}" xr6:coauthVersionLast="47" xr6:coauthVersionMax="47" xr10:uidLastSave="{00000000-0000-0000-0000-000000000000}"/>
  <bookViews>
    <workbookView xWindow="28680" yWindow="-120" windowWidth="29040" windowHeight="15720" xr2:uid="{F6E67448-478D-4E77-A7FF-FD6BE5C94DFB}"/>
  </bookViews>
  <sheets>
    <sheet name="Base_Vend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61" i="1" l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<sst xmlns="http://schemas.openxmlformats.org/spreadsheetml/2006/main" count="251" uniqueCount="32">
  <si>
    <t>ID_Pedido</t>
  </si>
  <si>
    <t>Data_Pedido</t>
  </si>
  <si>
    <t>Categoria</t>
  </si>
  <si>
    <t>Região</t>
  </si>
  <si>
    <t>Forma_Pagamento</t>
  </si>
  <si>
    <t>Quantidade</t>
  </si>
  <si>
    <t>Preço_Unitário</t>
  </si>
  <si>
    <t>Desconto_Pct</t>
  </si>
  <si>
    <t>Frete</t>
  </si>
  <si>
    <t>Prazo_Entrega_Dias</t>
  </si>
  <si>
    <t>Valor_Total</t>
  </si>
  <si>
    <t>Situação_Anormal</t>
  </si>
  <si>
    <t>Eletrônicos</t>
  </si>
  <si>
    <t>Sudeste</t>
  </si>
  <si>
    <t>Cartão de crédito</t>
  </si>
  <si>
    <t>Normal</t>
  </si>
  <si>
    <t>Casa</t>
  </si>
  <si>
    <t>Nordeste</t>
  </si>
  <si>
    <t>PIX</t>
  </si>
  <si>
    <t>Moda</t>
  </si>
  <si>
    <t>Norte</t>
  </si>
  <si>
    <t>Boleto</t>
  </si>
  <si>
    <t>Beleza</t>
  </si>
  <si>
    <t>Sul</t>
  </si>
  <si>
    <t>Carteira digital</t>
  </si>
  <si>
    <t>Esportes</t>
  </si>
  <si>
    <t>Centro-Oeste</t>
  </si>
  <si>
    <t>Livros</t>
  </si>
  <si>
    <t>Anomalia: quantidade extrema</t>
  </si>
  <si>
    <t>Anomalia: preço extremo</t>
  </si>
  <si>
    <t>Anomalia: atraso extremo</t>
  </si>
  <si>
    <t>Anomalia combinada: quantidade alta + desconto alto + frete 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</si>
</sst>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R$-416]\ #,##0.00"/>
  </numFmts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9" fontId="0" fillId="0" borderId="0" xfId="0" applyNumberFormat="1"/>
    <xf numFmtId="0" fontId="1" fillId="2" borderId="0" xfId="0" applyFont="1" applyFill="1"/>
    <xf numFmtId="0" fontId="0" fillId="0" borderId="0" xfId="0" applyAlignment="1">
      <alignment wrapText="1"/>
    </xf>
    <xf numFmtId="165" fontId="0" fillId="0" borderId="0" xfId="0" applyNumberFormat="1"/>
  </cellXfs>
  <cellStyles count="1">
    <cellStyle name="Normal" xfId="0" builtinId="0"/>
  </cellStyles>
  <dxfs count="11"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ont>
        <b/>
        <i val="0"/>
        <color rgb="FF9C0006"/>
      </font>
      <fill>
        <patternFill patternType="solid">
          <fgColor indexed="64"/>
          <bgColor rgb="FFFCE4D6"/>
        </patternFill>
      </fill>
    </dxf>
    <dxf>
      <numFmt numFmtId="165" formatCode="[$R$-416]\ #,##0.00"/>
    </dxf>
    <dxf>
      <numFmt numFmtId="165" formatCode="[$R$-416]\ #,##0.00"/>
    </dxf>
    <dxf>
      <numFmt numFmtId="165" formatCode="[$R$-416]\ #,##0.0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1F4E78"/>
        </patternFill>
      </fill>
    </dxf>
    <dxf>
      <numFmt numFmtId="13" formatCode="0%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A051D6-2EBA-4C24-AF78-24FF4F472FCC}" name="tbVendas" displayName="tbVendas" ref="A1:L61" totalsRowShown="0" headerRowDxfId="8">
  <autoFilter ref="A1:L61" xr:uid="{41A051D6-2EBA-4C24-AF78-24FF4F472FCC}"/>
  <tableColumns count="12">
    <tableColumn id="1" xr3:uid="{64F897C7-62B3-48F3-A07C-1EBF888BCC99}" name="ID_Pedido"/>
    <tableColumn id="2" xr3:uid="{ACE91F07-08C5-4301-9148-F12A7A2124BC}" name="Data_Pedido" dataDxfId="10"/>
    <tableColumn id="3" xr3:uid="{19D5BCA2-BCD2-4B6E-B406-F9D6E0F25A48}" name="Categoria"/>
    <tableColumn id="4" xr3:uid="{CC4069A0-889F-47DF-88FA-F3ED245EC3B0}" name="Região"/>
    <tableColumn id="5" xr3:uid="{DAFE6705-4240-4B06-9665-7ED0FDED449A}" name="Forma_Pagamento"/>
    <tableColumn id="6" xr3:uid="{9E14DD53-E2F8-4E25-97AB-69AB35E209D8}" name="Quantidade"/>
    <tableColumn id="7" xr3:uid="{F034E8D8-676F-4D3D-8AA3-0253AE8E5920}" name="Preço_Unitário" dataDxfId="6"/>
    <tableColumn id="8" xr3:uid="{7D249BC4-4837-43F7-931C-CC3FAFB04DAA}" name="Desconto_Pct" dataDxfId="9"/>
    <tableColumn id="9" xr3:uid="{484BB94D-3CA5-4C93-95AA-BA30F3F36444}" name="Frete" dataDxfId="5"/>
    <tableColumn id="10" xr3:uid="{E45C4F0A-9EF1-404B-89D5-0649401BE1DF}" name="Prazo_Entrega_Dias"/>
    <tableColumn id="11" xr3:uid="{45BBAD49-D287-45F4-941B-1DE1372E4157}" name="Valor_Total" dataDxfId="4">
      <calculatedColumnFormula>IF(OR(F2="",G2=""),"",F2*G2*(1-H2)+I2)</calculatedColumnFormula>
    </tableColumn>
    <tableColumn id="12" xr3:uid="{5FDA2F7B-C6E4-4B1D-99EF-098D478E3626}" name="Situação_Anormal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F722F-ABED-4D4F-A3A1-CBFCD2BDBF45}">
  <dimension ref="A1:L61"/>
  <sheetViews>
    <sheetView tabSelected="1" workbookViewId="0">
      <pane ySplit="1" topLeftCell="A11" activePane="bottomLeft" state="frozen"/>
      <selection pane="bottomLeft"/>
    </sheetView>
  </sheetViews>
  <sheetFormatPr defaultRowHeight="14.4" x14ac:dyDescent="0.3"/>
  <cols>
    <col min="1" max="1" width="12.109375" bestFit="1" customWidth="1"/>
    <col min="2" max="2" width="14.109375" bestFit="1" customWidth="1"/>
    <col min="3" max="3" width="17.5546875" customWidth="1"/>
    <col min="4" max="4" width="16.6640625" customWidth="1"/>
    <col min="5" max="5" width="21.33203125" customWidth="1"/>
    <col min="6" max="6" width="13.33203125" bestFit="1" customWidth="1"/>
    <col min="7" max="7" width="16.109375" bestFit="1" customWidth="1"/>
    <col min="8" max="8" width="15.44140625" bestFit="1" customWidth="1"/>
    <col min="9" max="9" width="9.109375" bestFit="1" customWidth="1"/>
    <col min="10" max="10" width="20.44140625" bestFit="1" customWidth="1"/>
    <col min="11" max="11" width="12.77734375" bestFit="1" customWidth="1"/>
    <col min="12" max="12" width="46.33203125" customWidth="1"/>
  </cols>
  <sheetData>
    <row r="1" spans="1:12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3">
      <c r="A2">
        <v>1001</v>
      </c>
      <c r="B2" s="1">
        <v>46025</v>
      </c>
      <c r="C2" t="s">
        <v>12</v>
      </c>
      <c r="D2" t="s">
        <v>13</v>
      </c>
      <c r="E2" t="s">
        <v>14</v>
      </c>
      <c r="F2">
        <v>1</v>
      </c>
      <c r="G2" s="5">
        <v>79.900000000000006</v>
      </c>
      <c r="H2" s="2">
        <v>0</v>
      </c>
      <c r="I2" s="5">
        <v>0</v>
      </c>
      <c r="J2">
        <v>2</v>
      </c>
      <c r="K2" s="5">
        <f>IF(OR(F2="",G2=""),"",F2*G2*(1-H2)+I2)</f>
        <v>79.900000000000006</v>
      </c>
      <c r="L2" s="4" t="s">
        <v>15</v>
      </c>
    </row>
    <row r="3" spans="1:12" x14ac:dyDescent="0.3">
      <c r="A3">
        <v>1002</v>
      </c>
      <c r="B3" s="1">
        <v>46027</v>
      </c>
      <c r="C3" t="s">
        <v>16</v>
      </c>
      <c r="D3" t="s">
        <v>17</v>
      </c>
      <c r="E3" t="s">
        <v>18</v>
      </c>
      <c r="F3">
        <v>2</v>
      </c>
      <c r="G3" s="5">
        <v>139.9</v>
      </c>
      <c r="H3" s="2">
        <v>0.05</v>
      </c>
      <c r="I3" s="5">
        <v>12.9</v>
      </c>
      <c r="J3">
        <v>5</v>
      </c>
      <c r="K3" s="5">
        <f t="shared" ref="K3:K61" si="0">IF(OR(F3="",G3=""),"",F3*G3*(1-H3)+I3)</f>
        <v>278.70999999999998</v>
      </c>
      <c r="L3" s="4" t="s">
        <v>15</v>
      </c>
    </row>
    <row r="4" spans="1:12" x14ac:dyDescent="0.3">
      <c r="A4">
        <v>1003</v>
      </c>
      <c r="B4" s="1">
        <v>46029</v>
      </c>
      <c r="C4" t="s">
        <v>19</v>
      </c>
      <c r="D4" t="s">
        <v>20</v>
      </c>
      <c r="E4" t="s">
        <v>21</v>
      </c>
      <c r="F4">
        <v>3</v>
      </c>
      <c r="G4" s="5">
        <v>269.89999999999998</v>
      </c>
      <c r="H4" s="2">
        <v>0.1</v>
      </c>
      <c r="I4" s="5">
        <v>18.5</v>
      </c>
      <c r="J4">
        <v>8</v>
      </c>
      <c r="K4" s="5">
        <f t="shared" si="0"/>
        <v>747.2299999999999</v>
      </c>
      <c r="L4" s="4" t="s">
        <v>15</v>
      </c>
    </row>
    <row r="5" spans="1:12" x14ac:dyDescent="0.3">
      <c r="A5">
        <v>1004</v>
      </c>
      <c r="B5" s="1">
        <v>46031</v>
      </c>
      <c r="C5" t="s">
        <v>22</v>
      </c>
      <c r="D5" t="s">
        <v>23</v>
      </c>
      <c r="E5" t="s">
        <v>24</v>
      </c>
      <c r="F5">
        <v>4</v>
      </c>
      <c r="G5" s="5">
        <v>89.9</v>
      </c>
      <c r="H5" s="2">
        <v>0.15</v>
      </c>
      <c r="I5" s="5">
        <v>24.9</v>
      </c>
      <c r="J5">
        <v>11</v>
      </c>
      <c r="K5" s="5">
        <f t="shared" si="0"/>
        <v>330.56</v>
      </c>
      <c r="L5" s="4" t="s">
        <v>15</v>
      </c>
    </row>
    <row r="6" spans="1:12" x14ac:dyDescent="0.3">
      <c r="A6">
        <v>1005</v>
      </c>
      <c r="B6" s="1">
        <v>46033</v>
      </c>
      <c r="C6" t="s">
        <v>25</v>
      </c>
      <c r="D6" t="s">
        <v>26</v>
      </c>
      <c r="E6" t="s">
        <v>14</v>
      </c>
      <c r="F6">
        <v>5</v>
      </c>
      <c r="G6" s="5">
        <v>189.9</v>
      </c>
      <c r="H6" s="2">
        <v>0</v>
      </c>
      <c r="I6" s="5">
        <v>0</v>
      </c>
      <c r="J6">
        <v>4</v>
      </c>
      <c r="K6" s="5">
        <f t="shared" si="0"/>
        <v>949.5</v>
      </c>
      <c r="L6" s="4" t="s">
        <v>15</v>
      </c>
    </row>
    <row r="7" spans="1:12" x14ac:dyDescent="0.3">
      <c r="A7">
        <v>1006</v>
      </c>
      <c r="B7" s="1">
        <v>46035</v>
      </c>
      <c r="C7" t="s">
        <v>27</v>
      </c>
      <c r="D7" t="s">
        <v>13</v>
      </c>
      <c r="E7" t="s">
        <v>18</v>
      </c>
      <c r="F7">
        <v>6</v>
      </c>
      <c r="G7" s="5">
        <v>49.9</v>
      </c>
      <c r="H7" s="2">
        <v>0.05</v>
      </c>
      <c r="I7" s="5">
        <v>12.9</v>
      </c>
      <c r="J7">
        <v>7</v>
      </c>
      <c r="K7" s="5">
        <f t="shared" si="0"/>
        <v>297.32999999999993</v>
      </c>
      <c r="L7" s="4" t="s">
        <v>15</v>
      </c>
    </row>
    <row r="8" spans="1:12" x14ac:dyDescent="0.3">
      <c r="A8">
        <v>1007</v>
      </c>
      <c r="B8" s="1">
        <v>46037</v>
      </c>
      <c r="C8" t="s">
        <v>12</v>
      </c>
      <c r="D8" t="s">
        <v>17</v>
      </c>
      <c r="E8" t="s">
        <v>21</v>
      </c>
      <c r="F8">
        <v>1</v>
      </c>
      <c r="G8" s="5">
        <v>99.9</v>
      </c>
      <c r="H8" s="2">
        <v>0.1</v>
      </c>
      <c r="I8" s="5">
        <v>18.5</v>
      </c>
      <c r="J8">
        <v>10</v>
      </c>
      <c r="K8" s="5">
        <f t="shared" si="0"/>
        <v>108.41000000000001</v>
      </c>
      <c r="L8" s="4" t="s">
        <v>15</v>
      </c>
    </row>
    <row r="9" spans="1:12" x14ac:dyDescent="0.3">
      <c r="A9">
        <v>1008</v>
      </c>
      <c r="B9" s="1">
        <v>46039</v>
      </c>
      <c r="C9" t="s">
        <v>16</v>
      </c>
      <c r="D9" t="s">
        <v>20</v>
      </c>
      <c r="E9" t="s">
        <v>24</v>
      </c>
      <c r="F9">
        <v>2</v>
      </c>
      <c r="G9" s="5">
        <v>159.9</v>
      </c>
      <c r="H9" s="2">
        <v>0.15</v>
      </c>
      <c r="I9" s="5">
        <v>24.9</v>
      </c>
      <c r="J9">
        <v>3</v>
      </c>
      <c r="K9" s="5">
        <f t="shared" si="0"/>
        <v>296.72999999999996</v>
      </c>
      <c r="L9" s="4" t="s">
        <v>15</v>
      </c>
    </row>
    <row r="10" spans="1:12" x14ac:dyDescent="0.3">
      <c r="A10">
        <v>1009</v>
      </c>
      <c r="B10" s="1">
        <v>46041</v>
      </c>
      <c r="C10" t="s">
        <v>19</v>
      </c>
      <c r="D10" t="s">
        <v>23</v>
      </c>
      <c r="E10" t="s">
        <v>14</v>
      </c>
      <c r="F10">
        <v>3</v>
      </c>
      <c r="G10" s="5">
        <v>249.9</v>
      </c>
      <c r="H10" s="2">
        <v>0</v>
      </c>
      <c r="I10" s="5">
        <v>0</v>
      </c>
      <c r="J10">
        <v>6</v>
      </c>
      <c r="K10" s="5">
        <f t="shared" si="0"/>
        <v>749.7</v>
      </c>
      <c r="L10" s="4" t="s">
        <v>15</v>
      </c>
    </row>
    <row r="11" spans="1:12" x14ac:dyDescent="0.3">
      <c r="A11">
        <v>1010</v>
      </c>
      <c r="B11" s="1">
        <v>46043</v>
      </c>
      <c r="C11" t="s">
        <v>22</v>
      </c>
      <c r="D11" t="s">
        <v>26</v>
      </c>
      <c r="E11" t="s">
        <v>18</v>
      </c>
      <c r="F11">
        <v>4</v>
      </c>
      <c r="G11" s="5">
        <v>69.900000000000006</v>
      </c>
      <c r="H11" s="2">
        <v>0.05</v>
      </c>
      <c r="I11" s="5">
        <v>12.9</v>
      </c>
      <c r="J11">
        <v>9</v>
      </c>
      <c r="K11" s="5">
        <f t="shared" si="0"/>
        <v>278.52</v>
      </c>
      <c r="L11" s="4" t="s">
        <v>15</v>
      </c>
    </row>
    <row r="12" spans="1:12" x14ac:dyDescent="0.3">
      <c r="A12">
        <v>1011</v>
      </c>
      <c r="B12" s="1">
        <v>46045</v>
      </c>
      <c r="C12" t="s">
        <v>25</v>
      </c>
      <c r="D12" t="s">
        <v>13</v>
      </c>
      <c r="E12" t="s">
        <v>21</v>
      </c>
      <c r="F12">
        <v>5</v>
      </c>
      <c r="G12" s="5">
        <v>209.9</v>
      </c>
      <c r="H12" s="2">
        <v>0.1</v>
      </c>
      <c r="I12" s="5">
        <v>18.5</v>
      </c>
      <c r="J12">
        <v>2</v>
      </c>
      <c r="K12" s="5">
        <f t="shared" si="0"/>
        <v>963.05000000000007</v>
      </c>
      <c r="L12" s="4" t="s">
        <v>15</v>
      </c>
    </row>
    <row r="13" spans="1:12" x14ac:dyDescent="0.3">
      <c r="A13">
        <v>1012</v>
      </c>
      <c r="B13" s="1">
        <v>46047</v>
      </c>
      <c r="C13" t="s">
        <v>27</v>
      </c>
      <c r="D13" t="s">
        <v>17</v>
      </c>
      <c r="E13" t="s">
        <v>24</v>
      </c>
      <c r="F13">
        <v>40</v>
      </c>
      <c r="G13" s="5">
        <v>69.900000000000006</v>
      </c>
      <c r="H13" s="2">
        <v>0.15</v>
      </c>
      <c r="I13" s="5">
        <v>24.9</v>
      </c>
      <c r="J13">
        <v>5</v>
      </c>
      <c r="K13" s="5">
        <f t="shared" si="0"/>
        <v>2401.5</v>
      </c>
      <c r="L13" s="4" t="s">
        <v>28</v>
      </c>
    </row>
    <row r="14" spans="1:12" x14ac:dyDescent="0.3">
      <c r="A14">
        <v>1013</v>
      </c>
      <c r="B14" s="1">
        <v>46049</v>
      </c>
      <c r="C14" t="s">
        <v>12</v>
      </c>
      <c r="D14" t="s">
        <v>20</v>
      </c>
      <c r="E14" t="s">
        <v>14</v>
      </c>
      <c r="F14">
        <v>1</v>
      </c>
      <c r="G14" s="5">
        <v>79.900000000000006</v>
      </c>
      <c r="H14" s="2">
        <v>0</v>
      </c>
      <c r="I14" s="5">
        <v>0</v>
      </c>
      <c r="J14">
        <v>8</v>
      </c>
      <c r="K14" s="5">
        <f t="shared" si="0"/>
        <v>79.900000000000006</v>
      </c>
      <c r="L14" s="4" t="s">
        <v>15</v>
      </c>
    </row>
    <row r="15" spans="1:12" x14ac:dyDescent="0.3">
      <c r="A15">
        <v>1014</v>
      </c>
      <c r="B15" s="1">
        <v>46051</v>
      </c>
      <c r="C15" t="s">
        <v>16</v>
      </c>
      <c r="D15" t="s">
        <v>23</v>
      </c>
      <c r="E15" t="s">
        <v>18</v>
      </c>
      <c r="F15">
        <v>2</v>
      </c>
      <c r="G15" s="5">
        <v>139.9</v>
      </c>
      <c r="H15" s="2">
        <v>0.05</v>
      </c>
      <c r="I15" s="5">
        <v>12.9</v>
      </c>
      <c r="J15">
        <v>11</v>
      </c>
      <c r="K15" s="5">
        <f t="shared" si="0"/>
        <v>278.70999999999998</v>
      </c>
      <c r="L15" s="4" t="s">
        <v>15</v>
      </c>
    </row>
    <row r="16" spans="1:12" x14ac:dyDescent="0.3">
      <c r="A16">
        <v>1015</v>
      </c>
      <c r="B16" s="1">
        <v>46053</v>
      </c>
      <c r="C16" t="s">
        <v>19</v>
      </c>
      <c r="D16" t="s">
        <v>26</v>
      </c>
      <c r="E16" t="s">
        <v>21</v>
      </c>
      <c r="F16">
        <v>3</v>
      </c>
      <c r="G16" s="5">
        <v>269.89999999999998</v>
      </c>
      <c r="H16" s="2">
        <v>0.1</v>
      </c>
      <c r="I16" s="5">
        <v>18.5</v>
      </c>
      <c r="J16">
        <v>4</v>
      </c>
      <c r="K16" s="5">
        <f t="shared" si="0"/>
        <v>747.2299999999999</v>
      </c>
      <c r="L16" s="4" t="s">
        <v>15</v>
      </c>
    </row>
    <row r="17" spans="1:12" x14ac:dyDescent="0.3">
      <c r="A17">
        <v>1016</v>
      </c>
      <c r="B17" s="1">
        <v>46055</v>
      </c>
      <c r="C17" t="s">
        <v>22</v>
      </c>
      <c r="D17" t="s">
        <v>13</v>
      </c>
      <c r="E17" t="s">
        <v>24</v>
      </c>
      <c r="F17">
        <v>4</v>
      </c>
      <c r="G17" s="5">
        <v>89.9</v>
      </c>
      <c r="H17" s="2">
        <v>0.15</v>
      </c>
      <c r="I17" s="5">
        <v>24.9</v>
      </c>
      <c r="J17">
        <v>7</v>
      </c>
      <c r="K17" s="5">
        <f t="shared" si="0"/>
        <v>330.56</v>
      </c>
      <c r="L17" s="4" t="s">
        <v>15</v>
      </c>
    </row>
    <row r="18" spans="1:12" x14ac:dyDescent="0.3">
      <c r="A18">
        <v>1017</v>
      </c>
      <c r="B18" s="1">
        <v>46057</v>
      </c>
      <c r="C18" t="s">
        <v>25</v>
      </c>
      <c r="D18" t="s">
        <v>17</v>
      </c>
      <c r="E18" t="s">
        <v>14</v>
      </c>
      <c r="F18">
        <v>5</v>
      </c>
      <c r="G18" s="5">
        <v>189.9</v>
      </c>
      <c r="H18" s="2">
        <v>0</v>
      </c>
      <c r="I18" s="5">
        <v>0</v>
      </c>
      <c r="J18">
        <v>10</v>
      </c>
      <c r="K18" s="5">
        <f t="shared" si="0"/>
        <v>949.5</v>
      </c>
      <c r="L18" s="4" t="s">
        <v>15</v>
      </c>
    </row>
    <row r="19" spans="1:12" x14ac:dyDescent="0.3">
      <c r="A19">
        <v>1018</v>
      </c>
      <c r="B19" s="1">
        <v>46059</v>
      </c>
      <c r="C19" t="s">
        <v>27</v>
      </c>
      <c r="D19" t="s">
        <v>20</v>
      </c>
      <c r="E19" t="s">
        <v>18</v>
      </c>
      <c r="F19">
        <v>6</v>
      </c>
      <c r="G19" s="5">
        <v>49.9</v>
      </c>
      <c r="H19" s="2">
        <v>0.05</v>
      </c>
      <c r="I19" s="5">
        <v>12.9</v>
      </c>
      <c r="J19">
        <v>3</v>
      </c>
      <c r="K19" s="5">
        <f t="shared" si="0"/>
        <v>297.32999999999993</v>
      </c>
      <c r="L19" s="4" t="s">
        <v>15</v>
      </c>
    </row>
    <row r="20" spans="1:12" x14ac:dyDescent="0.3">
      <c r="A20">
        <v>1019</v>
      </c>
      <c r="B20" s="1">
        <v>46061</v>
      </c>
      <c r="C20" t="s">
        <v>12</v>
      </c>
      <c r="D20" t="s">
        <v>23</v>
      </c>
      <c r="E20" t="s">
        <v>21</v>
      </c>
      <c r="F20">
        <v>1</v>
      </c>
      <c r="G20" s="5">
        <v>99.9</v>
      </c>
      <c r="H20" s="2">
        <v>0.1</v>
      </c>
      <c r="I20" s="5">
        <v>18.5</v>
      </c>
      <c r="J20">
        <v>6</v>
      </c>
      <c r="K20" s="5">
        <f t="shared" si="0"/>
        <v>108.41000000000001</v>
      </c>
      <c r="L20" s="4" t="s">
        <v>15</v>
      </c>
    </row>
    <row r="21" spans="1:12" x14ac:dyDescent="0.3">
      <c r="A21">
        <v>1020</v>
      </c>
      <c r="B21" s="1">
        <v>46063</v>
      </c>
      <c r="C21" t="s">
        <v>16</v>
      </c>
      <c r="D21" t="s">
        <v>26</v>
      </c>
      <c r="E21" t="s">
        <v>24</v>
      </c>
      <c r="F21">
        <v>2</v>
      </c>
      <c r="G21" s="5"/>
      <c r="H21" s="2">
        <v>0.15</v>
      </c>
      <c r="I21" s="5">
        <v>24.9</v>
      </c>
      <c r="J21">
        <v>9</v>
      </c>
      <c r="K21" s="5" t="str">
        <f t="shared" si="0"/>
        <v/>
      </c>
      <c r="L21" s="4" t="s">
        <v>15</v>
      </c>
    </row>
    <row r="22" spans="1:12" x14ac:dyDescent="0.3">
      <c r="A22">
        <v>1021</v>
      </c>
      <c r="B22" s="1">
        <v>46065</v>
      </c>
      <c r="C22" t="s">
        <v>19</v>
      </c>
      <c r="D22" t="s">
        <v>13</v>
      </c>
      <c r="E22" t="s">
        <v>14</v>
      </c>
      <c r="F22">
        <v>3</v>
      </c>
      <c r="G22" s="5">
        <v>249.9</v>
      </c>
      <c r="H22" s="2">
        <v>0</v>
      </c>
      <c r="I22" s="5">
        <v>0</v>
      </c>
      <c r="J22">
        <v>2</v>
      </c>
      <c r="K22" s="5">
        <f t="shared" si="0"/>
        <v>749.7</v>
      </c>
      <c r="L22" s="4" t="s">
        <v>15</v>
      </c>
    </row>
    <row r="23" spans="1:12" x14ac:dyDescent="0.3">
      <c r="A23">
        <v>1022</v>
      </c>
      <c r="B23" s="1">
        <v>46067</v>
      </c>
      <c r="C23" t="s">
        <v>22</v>
      </c>
      <c r="D23" t="s">
        <v>17</v>
      </c>
      <c r="E23" t="s">
        <v>18</v>
      </c>
      <c r="F23">
        <v>4</v>
      </c>
      <c r="G23" s="5">
        <v>69.900000000000006</v>
      </c>
      <c r="H23" s="2">
        <v>0.05</v>
      </c>
      <c r="I23" s="5">
        <v>12.9</v>
      </c>
      <c r="J23">
        <v>5</v>
      </c>
      <c r="K23" s="5">
        <f t="shared" si="0"/>
        <v>278.52</v>
      </c>
      <c r="L23" s="4" t="s">
        <v>15</v>
      </c>
    </row>
    <row r="24" spans="1:12" x14ac:dyDescent="0.3">
      <c r="A24">
        <v>1023</v>
      </c>
      <c r="B24" s="1">
        <v>46069</v>
      </c>
      <c r="C24" t="s">
        <v>25</v>
      </c>
      <c r="D24" t="s">
        <v>20</v>
      </c>
      <c r="E24" t="s">
        <v>21</v>
      </c>
      <c r="F24">
        <v>5</v>
      </c>
      <c r="G24" s="5">
        <v>209.9</v>
      </c>
      <c r="H24" s="2">
        <v>0.1</v>
      </c>
      <c r="I24" s="5">
        <v>18.5</v>
      </c>
      <c r="J24">
        <v>8</v>
      </c>
      <c r="K24" s="5">
        <f t="shared" si="0"/>
        <v>963.05000000000007</v>
      </c>
      <c r="L24" s="4" t="s">
        <v>15</v>
      </c>
    </row>
    <row r="25" spans="1:12" x14ac:dyDescent="0.3">
      <c r="A25">
        <v>1024</v>
      </c>
      <c r="B25" s="1">
        <v>46071</v>
      </c>
      <c r="C25" t="s">
        <v>27</v>
      </c>
      <c r="D25" t="s">
        <v>23</v>
      </c>
      <c r="E25" t="s">
        <v>24</v>
      </c>
      <c r="F25">
        <v>6</v>
      </c>
      <c r="G25" s="5">
        <v>69.900000000000006</v>
      </c>
      <c r="H25" s="2">
        <v>0.15</v>
      </c>
      <c r="I25" s="5">
        <v>24.9</v>
      </c>
      <c r="J25">
        <v>11</v>
      </c>
      <c r="K25" s="5">
        <f t="shared" si="0"/>
        <v>381.39</v>
      </c>
      <c r="L25" s="4" t="s">
        <v>15</v>
      </c>
    </row>
    <row r="26" spans="1:12" x14ac:dyDescent="0.3">
      <c r="A26">
        <v>1025</v>
      </c>
      <c r="B26" s="1">
        <v>46073</v>
      </c>
      <c r="C26" t="s">
        <v>12</v>
      </c>
      <c r="D26" t="s">
        <v>26</v>
      </c>
      <c r="E26" t="s">
        <v>14</v>
      </c>
      <c r="F26">
        <v>1</v>
      </c>
      <c r="G26" s="5">
        <v>79.900000000000006</v>
      </c>
      <c r="H26" s="2">
        <v>0</v>
      </c>
      <c r="I26" s="5">
        <v>0</v>
      </c>
      <c r="J26">
        <v>4</v>
      </c>
      <c r="K26" s="5">
        <f t="shared" si="0"/>
        <v>79.900000000000006</v>
      </c>
      <c r="L26" s="4" t="s">
        <v>15</v>
      </c>
    </row>
    <row r="27" spans="1:12" x14ac:dyDescent="0.3">
      <c r="A27">
        <v>1026</v>
      </c>
      <c r="B27" s="1">
        <v>46075</v>
      </c>
      <c r="C27" t="s">
        <v>16</v>
      </c>
      <c r="D27" t="s">
        <v>13</v>
      </c>
      <c r="E27" t="s">
        <v>18</v>
      </c>
      <c r="F27">
        <v>2</v>
      </c>
      <c r="G27" s="5">
        <v>139.9</v>
      </c>
      <c r="H27" s="2">
        <v>0.05</v>
      </c>
      <c r="I27" s="5">
        <v>12.9</v>
      </c>
      <c r="J27">
        <v>7</v>
      </c>
      <c r="K27" s="5">
        <f t="shared" si="0"/>
        <v>278.70999999999998</v>
      </c>
      <c r="L27" s="4" t="s">
        <v>15</v>
      </c>
    </row>
    <row r="28" spans="1:12" x14ac:dyDescent="0.3">
      <c r="A28">
        <v>1027</v>
      </c>
      <c r="B28" s="1">
        <v>46077</v>
      </c>
      <c r="C28" t="s">
        <v>19</v>
      </c>
      <c r="D28" t="s">
        <v>17</v>
      </c>
      <c r="E28" t="s">
        <v>21</v>
      </c>
      <c r="F28">
        <v>3</v>
      </c>
      <c r="G28" s="5">
        <v>4999.8999999999996</v>
      </c>
      <c r="H28" s="2">
        <v>0.1</v>
      </c>
      <c r="I28" s="5">
        <v>18.5</v>
      </c>
      <c r="J28">
        <v>10</v>
      </c>
      <c r="K28" s="5">
        <f t="shared" si="0"/>
        <v>13518.23</v>
      </c>
      <c r="L28" s="4" t="s">
        <v>29</v>
      </c>
    </row>
    <row r="29" spans="1:12" x14ac:dyDescent="0.3">
      <c r="A29">
        <v>1028</v>
      </c>
      <c r="B29" s="1">
        <v>46079</v>
      </c>
      <c r="C29" t="s">
        <v>22</v>
      </c>
      <c r="D29" t="s">
        <v>20</v>
      </c>
      <c r="E29" t="s">
        <v>24</v>
      </c>
      <c r="F29">
        <v>4</v>
      </c>
      <c r="G29" s="5">
        <v>89.9</v>
      </c>
      <c r="H29" s="2">
        <v>0.15</v>
      </c>
      <c r="I29" s="5">
        <v>24.9</v>
      </c>
      <c r="J29">
        <v>3</v>
      </c>
      <c r="K29" s="5">
        <f t="shared" si="0"/>
        <v>330.56</v>
      </c>
      <c r="L29" s="4" t="s">
        <v>15</v>
      </c>
    </row>
    <row r="30" spans="1:12" x14ac:dyDescent="0.3">
      <c r="A30">
        <v>1029</v>
      </c>
      <c r="B30" s="1">
        <v>46081</v>
      </c>
      <c r="C30" t="s">
        <v>25</v>
      </c>
      <c r="D30" t="s">
        <v>23</v>
      </c>
      <c r="E30" t="s">
        <v>14</v>
      </c>
      <c r="F30">
        <v>5</v>
      </c>
      <c r="G30" s="5">
        <v>189.9</v>
      </c>
      <c r="H30" s="2">
        <v>0</v>
      </c>
      <c r="I30" s="5">
        <v>0</v>
      </c>
      <c r="J30">
        <v>6</v>
      </c>
      <c r="K30" s="5">
        <f t="shared" si="0"/>
        <v>949.5</v>
      </c>
      <c r="L30" s="4" t="s">
        <v>15</v>
      </c>
    </row>
    <row r="31" spans="1:12" x14ac:dyDescent="0.3">
      <c r="A31">
        <v>1030</v>
      </c>
      <c r="B31" s="1">
        <v>46083</v>
      </c>
      <c r="C31" t="s">
        <v>27</v>
      </c>
      <c r="D31" t="s">
        <v>26</v>
      </c>
      <c r="E31" t="s">
        <v>18</v>
      </c>
      <c r="F31">
        <v>6</v>
      </c>
      <c r="G31" s="5">
        <v>49.9</v>
      </c>
      <c r="H31" s="2">
        <v>0.05</v>
      </c>
      <c r="I31" s="5">
        <v>12.9</v>
      </c>
      <c r="J31">
        <v>9</v>
      </c>
      <c r="K31" s="5">
        <f t="shared" si="0"/>
        <v>297.32999999999993</v>
      </c>
      <c r="L31" s="4" t="s">
        <v>15</v>
      </c>
    </row>
    <row r="32" spans="1:12" x14ac:dyDescent="0.3">
      <c r="A32">
        <v>1031</v>
      </c>
      <c r="B32" s="1">
        <v>46085</v>
      </c>
      <c r="C32" t="s">
        <v>12</v>
      </c>
      <c r="D32" t="s">
        <v>13</v>
      </c>
      <c r="E32" t="s">
        <v>21</v>
      </c>
      <c r="F32">
        <v>1</v>
      </c>
      <c r="G32" s="5">
        <v>99.9</v>
      </c>
      <c r="H32" s="2">
        <v>0.1</v>
      </c>
      <c r="I32" s="5">
        <v>18.5</v>
      </c>
      <c r="J32">
        <v>2</v>
      </c>
      <c r="K32" s="5">
        <f t="shared" si="0"/>
        <v>108.41000000000001</v>
      </c>
      <c r="L32" s="4" t="s">
        <v>15</v>
      </c>
    </row>
    <row r="33" spans="1:12" x14ac:dyDescent="0.3">
      <c r="A33">
        <v>1032</v>
      </c>
      <c r="B33" s="1">
        <v>46087</v>
      </c>
      <c r="C33" t="s">
        <v>16</v>
      </c>
      <c r="D33" t="s">
        <v>17</v>
      </c>
      <c r="E33" t="s">
        <v>24</v>
      </c>
      <c r="F33">
        <v>2</v>
      </c>
      <c r="G33" s="5">
        <v>159.9</v>
      </c>
      <c r="H33" s="2">
        <v>0.15</v>
      </c>
      <c r="I33" s="5">
        <v>24.9</v>
      </c>
      <c r="J33">
        <v>5</v>
      </c>
      <c r="K33" s="5">
        <f t="shared" si="0"/>
        <v>296.72999999999996</v>
      </c>
      <c r="L33" s="4" t="s">
        <v>15</v>
      </c>
    </row>
    <row r="34" spans="1:12" x14ac:dyDescent="0.3">
      <c r="A34">
        <v>1033</v>
      </c>
      <c r="B34" s="1">
        <v>46089</v>
      </c>
      <c r="C34" t="s">
        <v>19</v>
      </c>
      <c r="D34" t="s">
        <v>20</v>
      </c>
      <c r="E34" t="s">
        <v>14</v>
      </c>
      <c r="F34">
        <v>3</v>
      </c>
      <c r="G34" s="5">
        <v>249.9</v>
      </c>
      <c r="H34" s="2">
        <v>0</v>
      </c>
      <c r="I34" s="5">
        <v>0</v>
      </c>
      <c r="J34">
        <v>8</v>
      </c>
      <c r="K34" s="5">
        <f t="shared" si="0"/>
        <v>749.7</v>
      </c>
      <c r="L34" s="4" t="s">
        <v>15</v>
      </c>
    </row>
    <row r="35" spans="1:12" x14ac:dyDescent="0.3">
      <c r="A35">
        <v>1034</v>
      </c>
      <c r="B35" s="1">
        <v>46091</v>
      </c>
      <c r="C35" t="s">
        <v>22</v>
      </c>
      <c r="D35" t="s">
        <v>23</v>
      </c>
      <c r="E35" t="s">
        <v>18</v>
      </c>
      <c r="F35">
        <v>4</v>
      </c>
      <c r="G35" s="5">
        <v>69.900000000000006</v>
      </c>
      <c r="H35" s="2">
        <v>0.05</v>
      </c>
      <c r="I35" s="5">
        <v>12.9</v>
      </c>
      <c r="J35">
        <v>11</v>
      </c>
      <c r="K35" s="5">
        <f t="shared" si="0"/>
        <v>278.52</v>
      </c>
      <c r="L35" s="4" t="s">
        <v>15</v>
      </c>
    </row>
    <row r="36" spans="1:12" x14ac:dyDescent="0.3">
      <c r="A36">
        <v>1035</v>
      </c>
      <c r="B36" s="1">
        <v>46093</v>
      </c>
      <c r="C36" t="s">
        <v>25</v>
      </c>
      <c r="D36" t="s">
        <v>26</v>
      </c>
      <c r="E36" t="s">
        <v>21</v>
      </c>
      <c r="F36">
        <v>5</v>
      </c>
      <c r="G36" s="5">
        <v>209.9</v>
      </c>
      <c r="H36" s="2">
        <v>0.1</v>
      </c>
      <c r="I36" s="5">
        <v>18.5</v>
      </c>
      <c r="J36">
        <v>4</v>
      </c>
      <c r="K36" s="5">
        <f t="shared" si="0"/>
        <v>963.05000000000007</v>
      </c>
      <c r="L36" s="4" t="s">
        <v>15</v>
      </c>
    </row>
    <row r="37" spans="1:12" x14ac:dyDescent="0.3">
      <c r="A37">
        <v>1036</v>
      </c>
      <c r="B37" s="1">
        <v>46095</v>
      </c>
      <c r="C37" t="s">
        <v>27</v>
      </c>
      <c r="D37" t="s">
        <v>13</v>
      </c>
      <c r="F37">
        <v>6</v>
      </c>
      <c r="G37" s="5">
        <v>69.900000000000006</v>
      </c>
      <c r="H37" s="2">
        <v>0.15</v>
      </c>
      <c r="I37" s="5">
        <v>24.9</v>
      </c>
      <c r="J37">
        <v>7</v>
      </c>
      <c r="K37" s="5">
        <f t="shared" si="0"/>
        <v>381.39</v>
      </c>
      <c r="L37" s="4" t="s">
        <v>15</v>
      </c>
    </row>
    <row r="38" spans="1:12" x14ac:dyDescent="0.3">
      <c r="A38">
        <v>1037</v>
      </c>
      <c r="B38" s="1">
        <v>46097</v>
      </c>
      <c r="C38" t="s">
        <v>12</v>
      </c>
      <c r="D38" t="s">
        <v>17</v>
      </c>
      <c r="E38" t="s">
        <v>14</v>
      </c>
      <c r="F38">
        <v>1</v>
      </c>
      <c r="G38" s="5">
        <v>79.900000000000006</v>
      </c>
      <c r="H38" s="2">
        <v>0</v>
      </c>
      <c r="I38" s="5">
        <v>0</v>
      </c>
      <c r="J38">
        <v>10</v>
      </c>
      <c r="K38" s="5">
        <f t="shared" si="0"/>
        <v>79.900000000000006</v>
      </c>
      <c r="L38" s="4" t="s">
        <v>15</v>
      </c>
    </row>
    <row r="39" spans="1:12" x14ac:dyDescent="0.3">
      <c r="A39">
        <v>1038</v>
      </c>
      <c r="B39" s="1">
        <v>46099</v>
      </c>
      <c r="C39" t="s">
        <v>16</v>
      </c>
      <c r="D39" t="s">
        <v>20</v>
      </c>
      <c r="E39" t="s">
        <v>18</v>
      </c>
      <c r="F39">
        <v>2</v>
      </c>
      <c r="G39" s="5">
        <v>139.9</v>
      </c>
      <c r="H39" s="2">
        <v>0.05</v>
      </c>
      <c r="I39" s="5">
        <v>12.9</v>
      </c>
      <c r="J39">
        <v>3</v>
      </c>
      <c r="K39" s="5">
        <f t="shared" si="0"/>
        <v>278.70999999999998</v>
      </c>
      <c r="L39" s="4" t="s">
        <v>15</v>
      </c>
    </row>
    <row r="40" spans="1:12" x14ac:dyDescent="0.3">
      <c r="A40">
        <v>1039</v>
      </c>
      <c r="B40" s="1">
        <v>46101</v>
      </c>
      <c r="C40" t="s">
        <v>19</v>
      </c>
      <c r="D40" t="s">
        <v>23</v>
      </c>
      <c r="E40" t="s">
        <v>21</v>
      </c>
      <c r="F40">
        <v>3</v>
      </c>
      <c r="G40" s="5">
        <v>269.89999999999998</v>
      </c>
      <c r="H40" s="2">
        <v>0.1</v>
      </c>
      <c r="I40" s="5">
        <v>18.5</v>
      </c>
      <c r="J40">
        <v>6</v>
      </c>
      <c r="K40" s="5">
        <f t="shared" si="0"/>
        <v>747.2299999999999</v>
      </c>
      <c r="L40" s="4" t="s">
        <v>15</v>
      </c>
    </row>
    <row r="41" spans="1:12" x14ac:dyDescent="0.3">
      <c r="A41">
        <v>1040</v>
      </c>
      <c r="B41" s="1">
        <v>46103</v>
      </c>
      <c r="C41" t="s">
        <v>22</v>
      </c>
      <c r="D41" t="s">
        <v>26</v>
      </c>
      <c r="E41" t="s">
        <v>24</v>
      </c>
      <c r="F41">
        <v>4</v>
      </c>
      <c r="G41" s="5">
        <v>89.9</v>
      </c>
      <c r="H41" s="2">
        <v>0.15</v>
      </c>
      <c r="I41" s="5">
        <v>24.9</v>
      </c>
      <c r="J41">
        <v>9</v>
      </c>
      <c r="K41" s="5">
        <f t="shared" si="0"/>
        <v>330.56</v>
      </c>
      <c r="L41" s="4" t="s">
        <v>15</v>
      </c>
    </row>
    <row r="42" spans="1:12" x14ac:dyDescent="0.3">
      <c r="A42">
        <v>1041</v>
      </c>
      <c r="B42" s="1">
        <v>46105</v>
      </c>
      <c r="C42" t="s">
        <v>25</v>
      </c>
      <c r="D42" t="s">
        <v>13</v>
      </c>
      <c r="E42" t="s">
        <v>14</v>
      </c>
      <c r="F42">
        <v>5</v>
      </c>
      <c r="G42" s="5">
        <v>189.9</v>
      </c>
      <c r="H42" s="2">
        <v>0</v>
      </c>
      <c r="I42" s="5">
        <v>0</v>
      </c>
      <c r="J42">
        <v>2</v>
      </c>
      <c r="K42" s="5">
        <f t="shared" si="0"/>
        <v>949.5</v>
      </c>
      <c r="L42" s="4" t="s">
        <v>15</v>
      </c>
    </row>
    <row r="43" spans="1:12" x14ac:dyDescent="0.3">
      <c r="A43">
        <v>1042</v>
      </c>
      <c r="B43" s="1">
        <v>46107</v>
      </c>
      <c r="C43" t="s">
        <v>27</v>
      </c>
      <c r="D43" t="s">
        <v>17</v>
      </c>
      <c r="E43" t="s">
        <v>18</v>
      </c>
      <c r="F43">
        <v>6</v>
      </c>
      <c r="G43" s="5">
        <v>49.9</v>
      </c>
      <c r="H43" s="2">
        <v>0.05</v>
      </c>
      <c r="I43" s="5">
        <v>12.9</v>
      </c>
      <c r="J43">
        <v>5</v>
      </c>
      <c r="K43" s="5">
        <f t="shared" si="0"/>
        <v>297.32999999999993</v>
      </c>
      <c r="L43" s="4" t="s">
        <v>15</v>
      </c>
    </row>
    <row r="44" spans="1:12" x14ac:dyDescent="0.3">
      <c r="A44">
        <v>1043</v>
      </c>
      <c r="B44" s="1">
        <v>46109</v>
      </c>
      <c r="C44" t="s">
        <v>12</v>
      </c>
      <c r="D44" t="s">
        <v>20</v>
      </c>
      <c r="E44" t="s">
        <v>21</v>
      </c>
      <c r="F44">
        <v>1</v>
      </c>
      <c r="G44" s="5">
        <v>99.9</v>
      </c>
      <c r="H44" s="2">
        <v>0.1</v>
      </c>
      <c r="I44" s="5">
        <v>18.5</v>
      </c>
      <c r="J44">
        <v>40</v>
      </c>
      <c r="K44" s="5">
        <f t="shared" si="0"/>
        <v>108.41000000000001</v>
      </c>
      <c r="L44" s="4" t="s">
        <v>30</v>
      </c>
    </row>
    <row r="45" spans="1:12" x14ac:dyDescent="0.3">
      <c r="A45">
        <v>1044</v>
      </c>
      <c r="B45" s="1">
        <v>46111</v>
      </c>
      <c r="C45" t="s">
        <v>16</v>
      </c>
      <c r="D45" t="s">
        <v>23</v>
      </c>
      <c r="E45" t="s">
        <v>24</v>
      </c>
      <c r="F45">
        <v>2</v>
      </c>
      <c r="G45" s="5">
        <v>159.9</v>
      </c>
      <c r="H45" s="2">
        <v>0.15</v>
      </c>
      <c r="I45" s="5">
        <v>24.9</v>
      </c>
      <c r="J45">
        <v>11</v>
      </c>
      <c r="K45" s="5">
        <f t="shared" si="0"/>
        <v>296.72999999999996</v>
      </c>
      <c r="L45" s="4" t="s">
        <v>15</v>
      </c>
    </row>
    <row r="46" spans="1:12" x14ac:dyDescent="0.3">
      <c r="A46">
        <v>1045</v>
      </c>
      <c r="B46" s="1">
        <v>46113</v>
      </c>
      <c r="C46" t="s">
        <v>19</v>
      </c>
      <c r="D46" t="s">
        <v>26</v>
      </c>
      <c r="E46" t="s">
        <v>14</v>
      </c>
      <c r="F46">
        <v>3</v>
      </c>
      <c r="G46" s="5">
        <v>249.9</v>
      </c>
      <c r="H46" s="2">
        <v>0</v>
      </c>
      <c r="I46" s="5">
        <v>0</v>
      </c>
      <c r="J46">
        <v>4</v>
      </c>
      <c r="K46" s="5">
        <f t="shared" si="0"/>
        <v>749.7</v>
      </c>
      <c r="L46" s="4" t="s">
        <v>15</v>
      </c>
    </row>
    <row r="47" spans="1:12" x14ac:dyDescent="0.3">
      <c r="A47">
        <v>1046</v>
      </c>
      <c r="B47" s="1">
        <v>46115</v>
      </c>
      <c r="C47" t="s">
        <v>22</v>
      </c>
      <c r="D47" t="s">
        <v>13</v>
      </c>
      <c r="E47" t="s">
        <v>18</v>
      </c>
      <c r="F47">
        <v>4</v>
      </c>
      <c r="G47" s="5">
        <v>69.900000000000006</v>
      </c>
      <c r="H47" s="2">
        <v>0.05</v>
      </c>
      <c r="I47" s="5">
        <v>12.9</v>
      </c>
      <c r="J47">
        <v>7</v>
      </c>
      <c r="K47" s="5">
        <f t="shared" si="0"/>
        <v>278.52</v>
      </c>
      <c r="L47" s="4" t="s">
        <v>15</v>
      </c>
    </row>
    <row r="48" spans="1:12" x14ac:dyDescent="0.3">
      <c r="A48">
        <v>1047</v>
      </c>
      <c r="B48" s="1">
        <v>46117</v>
      </c>
      <c r="C48" t="s">
        <v>25</v>
      </c>
      <c r="D48" t="s">
        <v>17</v>
      </c>
      <c r="E48" t="s">
        <v>21</v>
      </c>
      <c r="F48">
        <v>5</v>
      </c>
      <c r="G48" s="5">
        <v>209.9</v>
      </c>
      <c r="H48" s="2">
        <v>0.1</v>
      </c>
      <c r="I48" s="5">
        <v>18.5</v>
      </c>
      <c r="J48">
        <v>10</v>
      </c>
      <c r="K48" s="5">
        <f t="shared" si="0"/>
        <v>963.05000000000007</v>
      </c>
      <c r="L48" s="4" t="s">
        <v>15</v>
      </c>
    </row>
    <row r="49" spans="1:12" x14ac:dyDescent="0.3">
      <c r="A49">
        <v>1048</v>
      </c>
      <c r="B49" s="1">
        <v>46119</v>
      </c>
      <c r="C49" t="s">
        <v>27</v>
      </c>
      <c r="D49" t="s">
        <v>20</v>
      </c>
      <c r="E49" t="s">
        <v>24</v>
      </c>
      <c r="F49">
        <v>6</v>
      </c>
      <c r="G49" s="5">
        <v>69.900000000000006</v>
      </c>
      <c r="H49" s="2">
        <v>0.15</v>
      </c>
      <c r="I49" s="5">
        <v>24.9</v>
      </c>
      <c r="J49">
        <v>3</v>
      </c>
      <c r="K49" s="5">
        <f t="shared" si="0"/>
        <v>381.39</v>
      </c>
      <c r="L49" s="4" t="s">
        <v>15</v>
      </c>
    </row>
    <row r="50" spans="1:12" x14ac:dyDescent="0.3">
      <c r="A50">
        <v>1049</v>
      </c>
      <c r="B50" s="1">
        <v>46121</v>
      </c>
      <c r="C50" t="s">
        <v>12</v>
      </c>
      <c r="D50" t="s">
        <v>23</v>
      </c>
      <c r="E50" t="s">
        <v>14</v>
      </c>
      <c r="F50">
        <v>1</v>
      </c>
      <c r="G50" s="5">
        <v>79.900000000000006</v>
      </c>
      <c r="H50" s="2">
        <v>0</v>
      </c>
      <c r="I50" s="5">
        <v>0</v>
      </c>
      <c r="K50" s="5">
        <f t="shared" si="0"/>
        <v>79.900000000000006</v>
      </c>
      <c r="L50" s="4" t="s">
        <v>15</v>
      </c>
    </row>
    <row r="51" spans="1:12" x14ac:dyDescent="0.3">
      <c r="A51">
        <v>1050</v>
      </c>
      <c r="B51" s="1">
        <v>46123</v>
      </c>
      <c r="C51" t="s">
        <v>16</v>
      </c>
      <c r="D51" t="s">
        <v>26</v>
      </c>
      <c r="E51" t="s">
        <v>18</v>
      </c>
      <c r="F51">
        <v>2</v>
      </c>
      <c r="G51" s="5">
        <v>139.9</v>
      </c>
      <c r="H51" s="2">
        <v>0.05</v>
      </c>
      <c r="I51" s="5">
        <v>12.9</v>
      </c>
      <c r="J51">
        <v>9</v>
      </c>
      <c r="K51" s="5">
        <f t="shared" si="0"/>
        <v>278.70999999999998</v>
      </c>
      <c r="L51" s="4" t="s">
        <v>15</v>
      </c>
    </row>
    <row r="52" spans="1:12" x14ac:dyDescent="0.3">
      <c r="A52">
        <v>1051</v>
      </c>
      <c r="B52" s="1">
        <v>46125</v>
      </c>
      <c r="C52" t="s">
        <v>19</v>
      </c>
      <c r="D52" t="s">
        <v>13</v>
      </c>
      <c r="E52" t="s">
        <v>21</v>
      </c>
      <c r="F52">
        <v>3</v>
      </c>
      <c r="G52" s="5">
        <v>269.89999999999998</v>
      </c>
      <c r="H52" s="2">
        <v>0.1</v>
      </c>
      <c r="I52" s="5">
        <v>18.5</v>
      </c>
      <c r="J52">
        <v>2</v>
      </c>
      <c r="K52" s="5">
        <f t="shared" si="0"/>
        <v>747.2299999999999</v>
      </c>
      <c r="L52" s="4" t="s">
        <v>15</v>
      </c>
    </row>
    <row r="53" spans="1:12" x14ac:dyDescent="0.3">
      <c r="A53">
        <v>1052</v>
      </c>
      <c r="B53" s="1">
        <v>46127</v>
      </c>
      <c r="C53" t="s">
        <v>22</v>
      </c>
      <c r="D53" t="s">
        <v>17</v>
      </c>
      <c r="E53" t="s">
        <v>24</v>
      </c>
      <c r="F53">
        <v>4</v>
      </c>
      <c r="G53" s="5">
        <v>89.9</v>
      </c>
      <c r="H53" s="2">
        <v>0.15</v>
      </c>
      <c r="I53" s="5">
        <v>24.9</v>
      </c>
      <c r="J53">
        <v>5</v>
      </c>
      <c r="K53" s="5">
        <f t="shared" si="0"/>
        <v>330.56</v>
      </c>
      <c r="L53" s="4" t="s">
        <v>15</v>
      </c>
    </row>
    <row r="54" spans="1:12" x14ac:dyDescent="0.3">
      <c r="A54">
        <v>1053</v>
      </c>
      <c r="B54" s="1">
        <v>46129</v>
      </c>
      <c r="C54" t="s">
        <v>25</v>
      </c>
      <c r="D54" t="s">
        <v>20</v>
      </c>
      <c r="E54" t="s">
        <v>14</v>
      </c>
      <c r="F54">
        <v>5</v>
      </c>
      <c r="G54" s="5">
        <v>189.9</v>
      </c>
      <c r="H54" s="2">
        <v>0</v>
      </c>
      <c r="I54" s="5">
        <v>0</v>
      </c>
      <c r="J54">
        <v>8</v>
      </c>
      <c r="K54" s="5">
        <f t="shared" si="0"/>
        <v>949.5</v>
      </c>
      <c r="L54" s="4" t="s">
        <v>15</v>
      </c>
    </row>
    <row r="55" spans="1:12" x14ac:dyDescent="0.3">
      <c r="A55">
        <v>1054</v>
      </c>
      <c r="B55" s="1">
        <v>46131</v>
      </c>
      <c r="C55" t="s">
        <v>27</v>
      </c>
      <c r="D55" t="s">
        <v>23</v>
      </c>
      <c r="E55" t="s">
        <v>18</v>
      </c>
      <c r="F55">
        <v>6</v>
      </c>
      <c r="G55" s="5">
        <v>49.9</v>
      </c>
      <c r="H55" s="2">
        <v>0.05</v>
      </c>
      <c r="I55" s="5">
        <v>12.9</v>
      </c>
      <c r="J55">
        <v>11</v>
      </c>
      <c r="K55" s="5">
        <f t="shared" si="0"/>
        <v>297.32999999999993</v>
      </c>
      <c r="L55" s="4" t="s">
        <v>15</v>
      </c>
    </row>
    <row r="56" spans="1:12" x14ac:dyDescent="0.3">
      <c r="A56">
        <v>1055</v>
      </c>
      <c r="B56" s="1">
        <v>46133</v>
      </c>
      <c r="C56" t="s">
        <v>12</v>
      </c>
      <c r="D56" t="s">
        <v>26</v>
      </c>
      <c r="E56" t="s">
        <v>21</v>
      </c>
      <c r="F56">
        <v>1</v>
      </c>
      <c r="G56" s="5">
        <v>99.9</v>
      </c>
      <c r="H56" s="2">
        <v>0.1</v>
      </c>
      <c r="I56" s="5">
        <v>18.5</v>
      </c>
      <c r="J56">
        <v>4</v>
      </c>
      <c r="K56" s="5">
        <f t="shared" si="0"/>
        <v>108.41000000000001</v>
      </c>
      <c r="L56" s="4" t="s">
        <v>15</v>
      </c>
    </row>
    <row r="57" spans="1:12" ht="28.8" x14ac:dyDescent="0.3">
      <c r="A57">
        <v>1056</v>
      </c>
      <c r="B57" s="1">
        <v>46135</v>
      </c>
      <c r="C57" t="s">
        <v>16</v>
      </c>
      <c r="D57" t="s">
        <v>13</v>
      </c>
      <c r="E57" t="s">
        <v>24</v>
      </c>
      <c r="F57">
        <v>18</v>
      </c>
      <c r="G57" s="5">
        <v>159.9</v>
      </c>
      <c r="H57" s="2">
        <v>0.55000000000000004</v>
      </c>
      <c r="I57" s="5">
        <v>0</v>
      </c>
      <c r="J57">
        <v>7</v>
      </c>
      <c r="K57" s="5">
        <f t="shared" si="0"/>
        <v>1295.19</v>
      </c>
      <c r="L57" s="4" t="s">
        <v>31</v>
      </c>
    </row>
    <row r="58" spans="1:12" x14ac:dyDescent="0.3">
      <c r="A58">
        <v>1057</v>
      </c>
      <c r="B58" s="1">
        <v>46137</v>
      </c>
      <c r="C58" t="s">
        <v>19</v>
      </c>
      <c r="D58" t="s">
        <v>17</v>
      </c>
      <c r="E58" t="s">
        <v>14</v>
      </c>
      <c r="F58">
        <v>3</v>
      </c>
      <c r="G58" s="5">
        <v>249.9</v>
      </c>
      <c r="H58" s="2">
        <v>0</v>
      </c>
      <c r="I58" s="5">
        <v>0</v>
      </c>
      <c r="J58">
        <v>10</v>
      </c>
      <c r="K58" s="5">
        <f t="shared" si="0"/>
        <v>749.7</v>
      </c>
      <c r="L58" s="4" t="s">
        <v>15</v>
      </c>
    </row>
    <row r="59" spans="1:12" x14ac:dyDescent="0.3">
      <c r="A59">
        <v>1058</v>
      </c>
      <c r="B59" s="1">
        <v>46139</v>
      </c>
      <c r="C59" t="s">
        <v>22</v>
      </c>
      <c r="D59" t="s">
        <v>20</v>
      </c>
      <c r="E59" t="s">
        <v>18</v>
      </c>
      <c r="F59">
        <v>4</v>
      </c>
      <c r="G59" s="5">
        <v>69.900000000000006</v>
      </c>
      <c r="H59" s="2">
        <v>0.05</v>
      </c>
      <c r="I59" s="5">
        <v>12.9</v>
      </c>
      <c r="J59">
        <v>3</v>
      </c>
      <c r="K59" s="5">
        <f t="shared" si="0"/>
        <v>278.52</v>
      </c>
      <c r="L59" s="4" t="s">
        <v>15</v>
      </c>
    </row>
    <row r="60" spans="1:12" x14ac:dyDescent="0.3">
      <c r="A60">
        <v>1059</v>
      </c>
      <c r="B60" s="1">
        <v>46141</v>
      </c>
      <c r="C60" t="s">
        <v>25</v>
      </c>
      <c r="D60" t="s">
        <v>23</v>
      </c>
      <c r="E60" t="s">
        <v>21</v>
      </c>
      <c r="F60">
        <v>5</v>
      </c>
      <c r="G60" s="5">
        <v>209.9</v>
      </c>
      <c r="H60" s="2">
        <v>0.1</v>
      </c>
      <c r="I60" s="5">
        <v>18.5</v>
      </c>
      <c r="J60">
        <v>6</v>
      </c>
      <c r="K60" s="5">
        <f t="shared" si="0"/>
        <v>963.05000000000007</v>
      </c>
      <c r="L60" s="4" t="s">
        <v>15</v>
      </c>
    </row>
    <row r="61" spans="1:12" x14ac:dyDescent="0.3">
      <c r="A61">
        <v>1060</v>
      </c>
      <c r="B61" s="1">
        <v>46143</v>
      </c>
      <c r="C61" t="s">
        <v>27</v>
      </c>
      <c r="D61" t="s">
        <v>26</v>
      </c>
      <c r="E61" t="s">
        <v>24</v>
      </c>
      <c r="F61">
        <v>6</v>
      </c>
      <c r="G61" s="5">
        <v>69.900000000000006</v>
      </c>
      <c r="H61" s="2">
        <v>0.15</v>
      </c>
      <c r="I61" s="5">
        <v>24.9</v>
      </c>
      <c r="J61">
        <v>9</v>
      </c>
      <c r="K61" s="5">
        <f t="shared" si="0"/>
        <v>381.39</v>
      </c>
      <c r="L61" s="4" t="s">
        <v>15</v>
      </c>
    </row>
  </sheetData>
  <conditionalFormatting sqref="A2:L61">
    <cfRule type="expression" dxfId="3" priority="1">
      <formula>$L2&lt;&gt;"Normal"</formula>
    </cfRule>
  </conditionalFormatting>
  <conditionalFormatting sqref="G21">
    <cfRule type="expression" dxfId="2" priority="2">
      <formula>G21=""</formula>
    </cfRule>
  </conditionalFormatting>
  <conditionalFormatting sqref="E37">
    <cfRule type="expression" dxfId="1" priority="3">
      <formula>E37=""</formula>
    </cfRule>
  </conditionalFormatting>
  <conditionalFormatting sqref="J50">
    <cfRule type="expression" dxfId="0" priority="4">
      <formula>J50=""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SALERNO</dc:creator>
  <cp:lastModifiedBy>ANDRE SALERNO</cp:lastModifiedBy>
  <dcterms:created xsi:type="dcterms:W3CDTF">2026-09-23T17:55:49Z</dcterms:created>
  <dcterms:modified xsi:type="dcterms:W3CDTF">2026-09-23T18:05:56Z</dcterms:modified>
</cp:coreProperties>
</file>